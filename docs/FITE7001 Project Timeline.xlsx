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" sheetId="1" r:id="rId4"/>
    <sheet state="visible" name="Technical" sheetId="2" r:id="rId5"/>
    <sheet state="visible" name="Total" sheetId="3" r:id="rId6"/>
  </sheets>
  <definedNames/>
  <calcPr/>
</workbook>
</file>

<file path=xl/sharedStrings.xml><?xml version="1.0" encoding="utf-8"?>
<sst xmlns="http://schemas.openxmlformats.org/spreadsheetml/2006/main" count="229" uniqueCount="139">
  <si>
    <t>Phase</t>
  </si>
  <si>
    <t>Task</t>
  </si>
  <si>
    <t>Subtask</t>
  </si>
  <si>
    <t>Hours Needed</t>
  </si>
  <si>
    <t>Owner</t>
  </si>
  <si>
    <t>Status</t>
  </si>
  <si>
    <t>1. Research and Planning</t>
  </si>
  <si>
    <t>Research about Polymarket</t>
  </si>
  <si>
    <t>Study on Polymarket as decentralized platform and gap identification</t>
  </si>
  <si>
    <t>B1, B2</t>
  </si>
  <si>
    <t>Use case on how prediction market outperform traditional risk transfer methods</t>
  </si>
  <si>
    <t>Define Project Scope</t>
  </si>
  <si>
    <t>Prototype operation model design for binary predictive market</t>
  </si>
  <si>
    <t>B1,B2</t>
  </si>
  <si>
    <t>Estimation on SDLC</t>
  </si>
  <si>
    <t>T1</t>
  </si>
  <si>
    <t>Identify Target Audience</t>
  </si>
  <si>
    <t>User identification in politics, sports, crypto events, etc., which are niche opportunities in underserved markets</t>
  </si>
  <si>
    <t>Institutional application exploration</t>
  </si>
  <si>
    <t>Competitior Analysis</t>
  </si>
  <si>
    <t>Study about Polymarket, Kalshi, Augur for multiple features, including yes/no betting, liquidity pools, resolution mechanism</t>
  </si>
  <si>
    <t>B1,B2,H</t>
  </si>
  <si>
    <t>Legal Requirement Analysis</t>
  </si>
  <si>
    <t>Regulation research, including but not limited to gambling law, KYC/AML</t>
  </si>
  <si>
    <t>Technical Research</t>
  </si>
  <si>
    <t>Study on Blockchain</t>
  </si>
  <si>
    <t>Study on Smart Contract</t>
  </si>
  <si>
    <t>Study on security measures</t>
  </si>
  <si>
    <t>B1,B2,T1</t>
  </si>
  <si>
    <t>Cost Analysis</t>
  </si>
  <si>
    <t>Budget for technical development</t>
  </si>
  <si>
    <t>B2</t>
  </si>
  <si>
    <t>2. Report Writing</t>
  </si>
  <si>
    <t>Report Writing</t>
  </si>
  <si>
    <t>Summarize the research</t>
  </si>
  <si>
    <t>B1,B2,H,T1,T2</t>
  </si>
  <si>
    <t>Provide insights on the risk transfer model of prediction market</t>
  </si>
  <si>
    <t>Report checking and finalization</t>
  </si>
  <si>
    <t>3. Deployment and Launch</t>
  </si>
  <si>
    <t>Market the Platform</t>
  </si>
  <si>
    <t>Promote on social media</t>
  </si>
  <si>
    <t>Build community via Discord, Twitter and forums</t>
  </si>
  <si>
    <t>Total</t>
  </si>
  <si>
    <t>Business Role 1</t>
  </si>
  <si>
    <t>Researcher, UI/UX Designer, End User, Business Analyst, Tester</t>
  </si>
  <si>
    <t>Business Role 2</t>
  </si>
  <si>
    <t>Researcher, Project Manager, End User, Business Analyst, Tester</t>
  </si>
  <si>
    <t>Hybrid Role</t>
  </si>
  <si>
    <t>Researcher, Business Analyst, Developer, Tester</t>
  </si>
  <si>
    <t>Technical Role 1</t>
  </si>
  <si>
    <t>Project Manager, Business Analyst, Tester, Developer</t>
  </si>
  <si>
    <t>Technical Role 2</t>
  </si>
  <si>
    <t>Solution Architect, Full Stack Developer, Tester</t>
  </si>
  <si>
    <t>0. Preparation</t>
  </si>
  <si>
    <t>Study</t>
  </si>
  <si>
    <t>Study Blockchain, including Etherum</t>
  </si>
  <si>
    <t>Developer (T1,T2, H)</t>
  </si>
  <si>
    <t>In Progress</t>
  </si>
  <si>
    <t>Study Solidity for Smart Contract</t>
  </si>
  <si>
    <t>To be started</t>
  </si>
  <si>
    <t>Study Chainlink, UMA for real-world data fetching to resolve market</t>
  </si>
  <si>
    <t>Tools</t>
  </si>
  <si>
    <t>Install all relevant tools and study the relevant frontend and backend programming language</t>
  </si>
  <si>
    <t>Completed</t>
  </si>
  <si>
    <t>1. Planning</t>
  </si>
  <si>
    <t>Scope Definition</t>
  </si>
  <si>
    <t>Business Analyst (T1, H), End User (B1, B2)</t>
  </si>
  <si>
    <t>Requirement Gathering</t>
  </si>
  <si>
    <t>Features to be developed</t>
  </si>
  <si>
    <t>Business Analyst (T1, H), Developer (T2)</t>
  </si>
  <si>
    <t>Waterfall Project Planning and Management</t>
  </si>
  <si>
    <t>Timeline Establishment</t>
  </si>
  <si>
    <t>Project Manager (T1, B2)</t>
  </si>
  <si>
    <t>Resources Allocation</t>
  </si>
  <si>
    <t>2. Analysis</t>
  </si>
  <si>
    <t>User Story</t>
  </si>
  <si>
    <t>User Story Creation</t>
  </si>
  <si>
    <t>Business Analyst (B1,B2,T1, H)</t>
  </si>
  <si>
    <t>User Story Grooming</t>
  </si>
  <si>
    <t>Business Analyst (B1,B2,T1, H), Developer (T2)</t>
  </si>
  <si>
    <t>3. Design</t>
  </si>
  <si>
    <t>High-level Architecture Design</t>
  </si>
  <si>
    <t>Solution Architect (T2)</t>
  </si>
  <si>
    <t>Technical Solution Design</t>
  </si>
  <si>
    <t>UI/UX Design</t>
  </si>
  <si>
    <t>Figma Prototype</t>
  </si>
  <si>
    <t>Designer (B1)</t>
  </si>
  <si>
    <t>4. Implementation</t>
  </si>
  <si>
    <t>Web development for reporting</t>
  </si>
  <si>
    <t>Developer (T1,T2)</t>
  </si>
  <si>
    <t>Backend development for prototype</t>
  </si>
  <si>
    <t>Integration with Blockchain</t>
  </si>
  <si>
    <t>Developer (T1,T2,H)</t>
  </si>
  <si>
    <t>Decentralize file storage development through IPFS</t>
  </si>
  <si>
    <t>Order Management Lifecycle Implementation</t>
  </si>
  <si>
    <t>Hybrid Central Limit Order Book (CLOB) for off-chaim matching and on-chain execution</t>
  </si>
  <si>
    <t>Smart contract development</t>
  </si>
  <si>
    <t>Contract creation with Gnosis Conditional Token Framework for core logic</t>
  </si>
  <si>
    <t>Create Solidity contract where users define events</t>
  </si>
  <si>
    <t>Function implementation for buying/selling shares using ERC-1155 tokens, collateralized by USDC</t>
  </si>
  <si>
    <t>Web development for prototype</t>
  </si>
  <si>
    <t>React app creation</t>
  </si>
  <si>
    <t>Responsive application</t>
  </si>
  <si>
    <t>Integration with Backend through user sessions or API calls</t>
  </si>
  <si>
    <t>Developer (T1, T2)</t>
  </si>
  <si>
    <t>Integration with Automated Market Makers (AMM) for dynamic pricing and liquidity</t>
  </si>
  <si>
    <t>Developer (T2)</t>
  </si>
  <si>
    <t>MetaMask wallet setup for getting testnet ETH from faucets for testing phase</t>
  </si>
  <si>
    <t>5. Testing and Integration</t>
  </si>
  <si>
    <t>Test Case Writing</t>
  </si>
  <si>
    <t>Tester (T1, H)</t>
  </si>
  <si>
    <t>Test Case Review</t>
  </si>
  <si>
    <t>Unit Testing</t>
  </si>
  <si>
    <t>Testing the modules individually with Mocha/Chai and Ganache for local blockchain simulation</t>
  </si>
  <si>
    <t>Integration Testing</t>
  </si>
  <si>
    <t>Testing on the interaction between individual componenet</t>
  </si>
  <si>
    <t>End-to-End System Integration Testing (E2E SIT)</t>
  </si>
  <si>
    <t>Testing E2E functionality on Polyhon/ Ethereum Testnet</t>
  </si>
  <si>
    <t>User Acceptance Test (UAT)</t>
  </si>
  <si>
    <t>End user testing on Polygon/ Ethereum Testnet</t>
  </si>
  <si>
    <t>End User (B1, B2)</t>
  </si>
  <si>
    <t>Performance Testing</t>
  </si>
  <si>
    <t>Evaluate the speed, responsiveness and stability of the prototype in handling high volume trading</t>
  </si>
  <si>
    <t>Tester (T1,H)</t>
  </si>
  <si>
    <t>Sanity Test</t>
  </si>
  <si>
    <t>Testing on specific bug fix/ minor change of work</t>
  </si>
  <si>
    <t>Business Analyst (B1,H)</t>
  </si>
  <si>
    <t>Regression Test</t>
  </si>
  <si>
    <t>Re-runs of the critical test cases to ensure code changes does not affect any existing functionality</t>
  </si>
  <si>
    <t>Tester (B1,B2,T1, H)</t>
  </si>
  <si>
    <t>6. Deployment</t>
  </si>
  <si>
    <t>Beta-Testing</t>
  </si>
  <si>
    <t>Pilot Launch</t>
  </si>
  <si>
    <t>Business Analyst (T1, H), Developer (T2), End User (B1, B2)</t>
  </si>
  <si>
    <t>7. Maintenance</t>
  </si>
  <si>
    <t>Role</t>
  </si>
  <si>
    <t>Responsibility</t>
  </si>
  <si>
    <t>Business Hours</t>
  </si>
  <si>
    <t>Techincal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</si>
</sst>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&quot;Aptos Narrow&quot;"/>
    </font>
    <font>
      <b/>
      <sz val="11.0"/>
      <color rgb="FF000000"/>
      <name val="&quot;Aptos Narrow&quot;"/>
    </font>
    <font>
      <color rgb="FF9C6500"/>
      <name val="&quot;Aptos Narrow&quot;"/>
    </font>
    <font>
      <color rgb="FF9C0006"/>
      <name val="&quot;Aptos Narrow&quot;"/>
    </font>
    <font>
      <color rgb="FF006100"/>
      <name val="&quot;Aptos Narrow&quot;"/>
    </font>
    <font>
      <sz val="11.0"/>
      <color rgb="FF000000"/>
      <name val="&quot;Aptos Narrow&quot;"/>
    </font>
    <font>
      <b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2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3" fontId="7" numFmtId="0" xfId="0" applyAlignment="1" applyFill="1" applyFont="1">
      <alignment readingOrder="0" shrinkToFit="0" vertical="bottom" wrapText="0"/>
    </xf>
    <xf borderId="0" fillId="4" fontId="8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BF90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3" max="3" width="9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60.0</v>
      </c>
      <c r="E2" s="2" t="s">
        <v>9</v>
      </c>
    </row>
    <row r="3">
      <c r="C3" s="2" t="s">
        <v>10</v>
      </c>
      <c r="D3" s="2">
        <v>60.0</v>
      </c>
      <c r="E3" s="2" t="s">
        <v>9</v>
      </c>
    </row>
    <row r="4">
      <c r="B4" s="2" t="s">
        <v>11</v>
      </c>
      <c r="C4" s="2" t="s">
        <v>12</v>
      </c>
      <c r="D4" s="2">
        <v>30.0</v>
      </c>
      <c r="E4" s="2" t="s">
        <v>13</v>
      </c>
    </row>
    <row r="5">
      <c r="C5" s="2" t="s">
        <v>14</v>
      </c>
      <c r="D5" s="2">
        <v>20.0</v>
      </c>
      <c r="E5" s="2" t="s">
        <v>15</v>
      </c>
    </row>
    <row r="6">
      <c r="B6" s="2" t="s">
        <v>16</v>
      </c>
      <c r="C6" s="2" t="s">
        <v>17</v>
      </c>
      <c r="D6" s="2">
        <v>25.0</v>
      </c>
      <c r="E6" s="2" t="s">
        <v>13</v>
      </c>
    </row>
    <row r="7">
      <c r="C7" s="2" t="s">
        <v>18</v>
      </c>
      <c r="D7" s="2">
        <v>25.0</v>
      </c>
      <c r="E7" s="2" t="s">
        <v>13</v>
      </c>
    </row>
    <row r="8">
      <c r="B8" s="2" t="s">
        <v>19</v>
      </c>
      <c r="C8" s="2" t="s">
        <v>20</v>
      </c>
      <c r="D8" s="2">
        <v>60.0</v>
      </c>
      <c r="E8" s="2" t="s">
        <v>21</v>
      </c>
    </row>
    <row r="9">
      <c r="B9" s="2" t="s">
        <v>22</v>
      </c>
      <c r="C9" s="2" t="s">
        <v>23</v>
      </c>
      <c r="D9" s="2">
        <v>70.0</v>
      </c>
      <c r="E9" s="2" t="s">
        <v>13</v>
      </c>
    </row>
    <row r="10">
      <c r="B10" s="2" t="s">
        <v>24</v>
      </c>
      <c r="C10" s="2" t="s">
        <v>25</v>
      </c>
      <c r="D10" s="2">
        <v>50.0</v>
      </c>
      <c r="E10" s="2" t="s">
        <v>13</v>
      </c>
    </row>
    <row r="11">
      <c r="C11" s="2" t="s">
        <v>26</v>
      </c>
      <c r="D11" s="2">
        <v>50.0</v>
      </c>
      <c r="E11" s="2" t="s">
        <v>13</v>
      </c>
    </row>
    <row r="12">
      <c r="C12" s="2" t="s">
        <v>27</v>
      </c>
      <c r="D12" s="2">
        <v>50.0</v>
      </c>
      <c r="E12" s="2" t="s">
        <v>28</v>
      </c>
    </row>
    <row r="13">
      <c r="B13" s="2" t="s">
        <v>29</v>
      </c>
      <c r="C13" s="2" t="s">
        <v>30</v>
      </c>
      <c r="D13" s="2">
        <v>20.0</v>
      </c>
      <c r="E13" s="2" t="s">
        <v>31</v>
      </c>
    </row>
    <row r="14">
      <c r="A14" s="2" t="s">
        <v>32</v>
      </c>
      <c r="B14" s="2" t="s">
        <v>33</v>
      </c>
      <c r="C14" s="2" t="s">
        <v>34</v>
      </c>
      <c r="D14" s="2">
        <v>160.0</v>
      </c>
      <c r="E14" s="2" t="s">
        <v>35</v>
      </c>
    </row>
    <row r="15">
      <c r="C15" s="2" t="s">
        <v>36</v>
      </c>
      <c r="D15" s="2">
        <v>160.0</v>
      </c>
      <c r="E15" s="2" t="s">
        <v>35</v>
      </c>
    </row>
    <row r="16">
      <c r="A16" s="2"/>
      <c r="B16" s="2"/>
      <c r="C16" s="2" t="s">
        <v>37</v>
      </c>
      <c r="D16" s="2">
        <v>20.0</v>
      </c>
      <c r="E16" s="2" t="s">
        <v>13</v>
      </c>
    </row>
    <row r="17">
      <c r="A17" s="2" t="s">
        <v>38</v>
      </c>
      <c r="B17" s="2" t="s">
        <v>39</v>
      </c>
      <c r="C17" s="2" t="s">
        <v>40</v>
      </c>
      <c r="D17" s="2">
        <v>20.0</v>
      </c>
      <c r="E17" s="2" t="s">
        <v>13</v>
      </c>
    </row>
    <row r="18">
      <c r="C18" s="2" t="s">
        <v>41</v>
      </c>
      <c r="D18" s="2">
        <v>20.0</v>
      </c>
      <c r="E18" s="2" t="s">
        <v>13</v>
      </c>
    </row>
    <row r="19">
      <c r="C19" s="1" t="s">
        <v>42</v>
      </c>
      <c r="D19" s="3">
        <f>SUM(D2:D18)</f>
        <v>900</v>
      </c>
    </row>
    <row r="20">
      <c r="A20" s="2" t="s">
        <v>43</v>
      </c>
      <c r="B20" s="4" t="s">
        <v>44</v>
      </c>
      <c r="C20" s="5">
        <f>SUMPRODUCT(
(ISNUMBER(SEARCH("B1",$E$2:$E$18)))*
($D$2:$D$18/(LEN($E$2:$E$18)-LEN(SUBSTITUTE($E$2:$E$18,",",""))+1)))</f>
        <v>315.6666667</v>
      </c>
    </row>
    <row r="21">
      <c r="A21" s="2" t="s">
        <v>45</v>
      </c>
      <c r="B21" s="4" t="s">
        <v>46</v>
      </c>
      <c r="C21" s="5">
        <f>SUMPRODUCT(
(ISNUMBER(SEARCH("B2",$E$2:$E$18)))*
($D$2:$D$18/(LEN($E$2:$E$18)-LEN(SUBSTITUTE($E$2:$E$18,",",""))+1)))</f>
        <v>335.6666667</v>
      </c>
    </row>
    <row r="22">
      <c r="A22" s="2" t="s">
        <v>47</v>
      </c>
      <c r="B22" s="6" t="s">
        <v>48</v>
      </c>
      <c r="C22" s="5">
        <f>SUMPRODUCT(
(ISNUMBER(SEARCH("H",$E$2:$E$18)))*
($D$2:$D$18/(LEN($E$2:$E$18)-LEN(SUBSTITUTE($E$2:$E$18,",",""))+1)))</f>
        <v>84</v>
      </c>
    </row>
    <row r="23">
      <c r="A23" s="2" t="s">
        <v>49</v>
      </c>
      <c r="B23" s="6" t="s">
        <v>50</v>
      </c>
      <c r="C23" s="5">
        <f>SUMPRODUCT(
(ISNUMBER(SEARCH("T1",$E$2:$E$18)))*
($D$2:$D$18/(LEN($E$2:$E$18)-LEN(SUBSTITUTE($E$2:$E$18,",",""))+1)))</f>
        <v>100.6666667</v>
      </c>
    </row>
    <row r="24">
      <c r="A24" s="2" t="s">
        <v>51</v>
      </c>
      <c r="B24" s="6" t="s">
        <v>52</v>
      </c>
      <c r="C24" s="5">
        <f>SUMPRODUCT(
(ISNUMBER(SEARCH("T2",$E$2:$E$18)))*
($D$2:$D$18/(LEN($E$2:$E$18)-LEN(SUBSTITUTE($E$2:$E$18,",",""))+1)))</f>
        <v>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57.5"/>
    <col customWidth="1" min="3" max="3" width="73.63"/>
    <col customWidth="1" min="4" max="4" width="13.38"/>
    <col customWidth="1" min="5" max="5" width="45.88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6" t="s">
        <v>53</v>
      </c>
      <c r="B2" s="6" t="s">
        <v>54</v>
      </c>
      <c r="C2" s="6" t="s">
        <v>55</v>
      </c>
      <c r="D2" s="8">
        <v>90.0</v>
      </c>
      <c r="E2" s="6" t="s">
        <v>56</v>
      </c>
      <c r="F2" s="9" t="s">
        <v>57</v>
      </c>
    </row>
    <row r="3">
      <c r="A3" s="10"/>
      <c r="B3" s="10"/>
      <c r="C3" s="6" t="s">
        <v>58</v>
      </c>
      <c r="D3" s="8">
        <v>90.0</v>
      </c>
      <c r="E3" s="6" t="s">
        <v>56</v>
      </c>
      <c r="F3" s="11" t="s">
        <v>59</v>
      </c>
    </row>
    <row r="4">
      <c r="A4" s="10"/>
      <c r="B4" s="10"/>
      <c r="C4" s="6" t="s">
        <v>60</v>
      </c>
      <c r="D4" s="8">
        <v>90.0</v>
      </c>
      <c r="E4" s="6" t="s">
        <v>56</v>
      </c>
      <c r="F4" s="11" t="s">
        <v>59</v>
      </c>
    </row>
    <row r="5">
      <c r="A5" s="10"/>
      <c r="B5" s="6" t="s">
        <v>61</v>
      </c>
      <c r="C5" s="6" t="s">
        <v>62</v>
      </c>
      <c r="D5" s="8">
        <v>30.0</v>
      </c>
      <c r="E5" s="6" t="s">
        <v>56</v>
      </c>
      <c r="F5" s="12" t="s">
        <v>63</v>
      </c>
    </row>
    <row r="6">
      <c r="A6" s="6" t="s">
        <v>64</v>
      </c>
      <c r="B6" s="6" t="s">
        <v>65</v>
      </c>
      <c r="C6" s="10"/>
      <c r="D6" s="8">
        <v>20.0</v>
      </c>
      <c r="E6" s="4" t="s">
        <v>66</v>
      </c>
      <c r="F6" s="9" t="s">
        <v>57</v>
      </c>
    </row>
    <row r="7">
      <c r="A7" s="10"/>
      <c r="B7" s="6" t="s">
        <v>67</v>
      </c>
      <c r="C7" s="6" t="s">
        <v>68</v>
      </c>
      <c r="D7" s="8">
        <v>20.0</v>
      </c>
      <c r="E7" s="4" t="s">
        <v>69</v>
      </c>
      <c r="F7" s="11" t="s">
        <v>59</v>
      </c>
    </row>
    <row r="8">
      <c r="A8" s="10"/>
      <c r="B8" s="2" t="s">
        <v>70</v>
      </c>
      <c r="C8" s="6" t="s">
        <v>71</v>
      </c>
      <c r="D8" s="8">
        <v>15.0</v>
      </c>
      <c r="E8" s="6" t="s">
        <v>72</v>
      </c>
      <c r="F8" s="9" t="s">
        <v>57</v>
      </c>
    </row>
    <row r="9">
      <c r="A9" s="10"/>
      <c r="C9" s="6" t="s">
        <v>73</v>
      </c>
      <c r="D9" s="8">
        <v>15.0</v>
      </c>
      <c r="E9" s="6" t="s">
        <v>72</v>
      </c>
      <c r="F9" s="9" t="s">
        <v>57</v>
      </c>
    </row>
    <row r="10">
      <c r="A10" s="6" t="s">
        <v>74</v>
      </c>
      <c r="B10" s="6" t="s">
        <v>75</v>
      </c>
      <c r="C10" s="6" t="s">
        <v>76</v>
      </c>
      <c r="D10" s="8">
        <v>20.0</v>
      </c>
      <c r="E10" s="4" t="s">
        <v>77</v>
      </c>
      <c r="F10" s="11" t="s">
        <v>59</v>
      </c>
    </row>
    <row r="11">
      <c r="A11" s="10"/>
      <c r="B11" s="10"/>
      <c r="C11" s="6" t="s">
        <v>78</v>
      </c>
      <c r="D11" s="8">
        <v>20.0</v>
      </c>
      <c r="E11" s="4" t="s">
        <v>79</v>
      </c>
      <c r="F11" s="11" t="s">
        <v>59</v>
      </c>
    </row>
    <row r="12">
      <c r="A12" s="6" t="s">
        <v>80</v>
      </c>
      <c r="B12" s="6" t="s">
        <v>81</v>
      </c>
      <c r="C12" s="10"/>
      <c r="D12" s="8">
        <v>15.0</v>
      </c>
      <c r="E12" s="6" t="s">
        <v>82</v>
      </c>
      <c r="F12" s="11" t="s">
        <v>59</v>
      </c>
    </row>
    <row r="13">
      <c r="A13" s="10"/>
      <c r="B13" s="6" t="s">
        <v>83</v>
      </c>
      <c r="C13" s="10"/>
      <c r="D13" s="8">
        <v>15.0</v>
      </c>
      <c r="E13" s="6" t="s">
        <v>82</v>
      </c>
      <c r="F13" s="11" t="s">
        <v>59</v>
      </c>
    </row>
    <row r="14">
      <c r="A14" s="13"/>
      <c r="B14" s="6" t="s">
        <v>84</v>
      </c>
      <c r="C14" s="6" t="s">
        <v>85</v>
      </c>
      <c r="D14" s="14">
        <v>30.0</v>
      </c>
      <c r="E14" s="6" t="s">
        <v>86</v>
      </c>
      <c r="F14" s="11" t="s">
        <v>59</v>
      </c>
    </row>
    <row r="15">
      <c r="A15" s="6" t="s">
        <v>87</v>
      </c>
      <c r="B15" s="6" t="s">
        <v>88</v>
      </c>
      <c r="C15" s="10"/>
      <c r="D15" s="14">
        <v>30.0</v>
      </c>
      <c r="E15" s="6" t="s">
        <v>89</v>
      </c>
      <c r="F15" s="11" t="s">
        <v>59</v>
      </c>
    </row>
    <row r="16">
      <c r="A16" s="10"/>
      <c r="B16" s="6" t="s">
        <v>90</v>
      </c>
      <c r="C16" s="6" t="s">
        <v>91</v>
      </c>
      <c r="D16" s="14">
        <v>20.0</v>
      </c>
      <c r="E16" s="4" t="s">
        <v>92</v>
      </c>
      <c r="F16" s="11" t="s">
        <v>59</v>
      </c>
    </row>
    <row r="17">
      <c r="A17" s="10"/>
      <c r="B17" s="10"/>
      <c r="C17" s="6" t="s">
        <v>93</v>
      </c>
      <c r="D17" s="14">
        <v>25.0</v>
      </c>
      <c r="E17" s="4" t="s">
        <v>92</v>
      </c>
      <c r="F17" s="11" t="s">
        <v>59</v>
      </c>
    </row>
    <row r="18">
      <c r="A18" s="10"/>
      <c r="B18" s="6" t="s">
        <v>94</v>
      </c>
      <c r="C18" s="6" t="s">
        <v>95</v>
      </c>
      <c r="D18" s="8">
        <v>30.0</v>
      </c>
      <c r="E18" s="4" t="s">
        <v>92</v>
      </c>
      <c r="F18" s="11" t="s">
        <v>59</v>
      </c>
    </row>
    <row r="19">
      <c r="A19" s="10"/>
      <c r="B19" s="6" t="s">
        <v>96</v>
      </c>
      <c r="C19" s="6" t="s">
        <v>97</v>
      </c>
      <c r="D19" s="8">
        <v>30.0</v>
      </c>
      <c r="E19" s="4" t="s">
        <v>92</v>
      </c>
      <c r="F19" s="11" t="s">
        <v>59</v>
      </c>
    </row>
    <row r="20">
      <c r="A20" s="10"/>
      <c r="B20" s="10"/>
      <c r="C20" s="6" t="s">
        <v>98</v>
      </c>
      <c r="D20" s="8">
        <v>40.0</v>
      </c>
      <c r="E20" s="4" t="s">
        <v>92</v>
      </c>
      <c r="F20" s="11" t="s">
        <v>59</v>
      </c>
    </row>
    <row r="21">
      <c r="A21" s="10"/>
      <c r="B21" s="10"/>
      <c r="C21" s="6" t="s">
        <v>99</v>
      </c>
      <c r="D21" s="8">
        <v>50.0</v>
      </c>
      <c r="E21" s="4" t="s">
        <v>92</v>
      </c>
      <c r="F21" s="11" t="s">
        <v>59</v>
      </c>
    </row>
    <row r="22">
      <c r="A22" s="10"/>
      <c r="B22" s="6" t="s">
        <v>100</v>
      </c>
      <c r="C22" s="6" t="s">
        <v>101</v>
      </c>
      <c r="D22" s="14">
        <v>25.0</v>
      </c>
      <c r="E22" s="4" t="s">
        <v>92</v>
      </c>
      <c r="F22" s="11" t="s">
        <v>59</v>
      </c>
    </row>
    <row r="23">
      <c r="A23" s="10"/>
      <c r="B23" s="10"/>
      <c r="C23" s="6" t="s">
        <v>102</v>
      </c>
      <c r="D23" s="14">
        <v>8.0</v>
      </c>
      <c r="E23" s="4" t="s">
        <v>89</v>
      </c>
      <c r="F23" s="11" t="s">
        <v>59</v>
      </c>
    </row>
    <row r="24">
      <c r="A24" s="10"/>
      <c r="B24" s="10"/>
      <c r="C24" s="6" t="s">
        <v>103</v>
      </c>
      <c r="D24" s="14">
        <v>50.0</v>
      </c>
      <c r="E24" s="6" t="s">
        <v>104</v>
      </c>
      <c r="F24" s="11" t="s">
        <v>59</v>
      </c>
    </row>
    <row r="25">
      <c r="A25" s="10"/>
      <c r="B25" s="13"/>
      <c r="C25" s="6" t="s">
        <v>105</v>
      </c>
      <c r="D25" s="14">
        <v>60.0</v>
      </c>
      <c r="E25" s="6" t="s">
        <v>106</v>
      </c>
      <c r="F25" s="11" t="s">
        <v>59</v>
      </c>
    </row>
    <row r="26">
      <c r="A26" s="10"/>
      <c r="B26" s="6" t="s">
        <v>107</v>
      </c>
      <c r="D26" s="14">
        <v>25.0</v>
      </c>
      <c r="E26" s="6" t="s">
        <v>106</v>
      </c>
      <c r="F26" s="11" t="s">
        <v>59</v>
      </c>
    </row>
    <row r="27">
      <c r="A27" s="6" t="s">
        <v>108</v>
      </c>
      <c r="B27" s="6" t="s">
        <v>109</v>
      </c>
      <c r="C27" s="10"/>
      <c r="D27" s="8">
        <v>20.0</v>
      </c>
      <c r="E27" s="6" t="s">
        <v>110</v>
      </c>
      <c r="F27" s="11" t="s">
        <v>59</v>
      </c>
    </row>
    <row r="28">
      <c r="A28" s="10"/>
      <c r="B28" s="6" t="s">
        <v>111</v>
      </c>
      <c r="C28" s="10"/>
      <c r="D28" s="8">
        <v>10.0</v>
      </c>
      <c r="E28" s="6" t="s">
        <v>110</v>
      </c>
      <c r="F28" s="11" t="s">
        <v>59</v>
      </c>
    </row>
    <row r="29">
      <c r="A29" s="10"/>
      <c r="B29" s="6" t="s">
        <v>112</v>
      </c>
      <c r="C29" s="6" t="s">
        <v>113</v>
      </c>
      <c r="D29" s="14">
        <v>40.0</v>
      </c>
      <c r="E29" s="6" t="s">
        <v>106</v>
      </c>
      <c r="F29" s="11" t="s">
        <v>59</v>
      </c>
    </row>
    <row r="30">
      <c r="A30" s="10"/>
      <c r="B30" s="6" t="s">
        <v>114</v>
      </c>
      <c r="C30" s="6" t="s">
        <v>115</v>
      </c>
      <c r="D30" s="14">
        <v>55.0</v>
      </c>
      <c r="E30" s="6" t="s">
        <v>110</v>
      </c>
      <c r="F30" s="11" t="s">
        <v>59</v>
      </c>
    </row>
    <row r="31">
      <c r="A31" s="10"/>
      <c r="B31" s="6" t="s">
        <v>116</v>
      </c>
      <c r="C31" s="6" t="s">
        <v>117</v>
      </c>
      <c r="D31" s="14">
        <v>55.0</v>
      </c>
      <c r="E31" s="6" t="s">
        <v>110</v>
      </c>
      <c r="F31" s="11" t="s">
        <v>59</v>
      </c>
    </row>
    <row r="32">
      <c r="A32" s="10"/>
      <c r="B32" s="6" t="s">
        <v>118</v>
      </c>
      <c r="C32" s="6" t="s">
        <v>119</v>
      </c>
      <c r="D32" s="14">
        <v>55.0</v>
      </c>
      <c r="E32" s="6" t="s">
        <v>120</v>
      </c>
      <c r="F32" s="11" t="s">
        <v>59</v>
      </c>
    </row>
    <row r="33">
      <c r="A33" s="10"/>
      <c r="B33" s="6" t="s">
        <v>121</v>
      </c>
      <c r="C33" s="6" t="s">
        <v>122</v>
      </c>
      <c r="D33" s="14">
        <v>25.0</v>
      </c>
      <c r="E33" s="4" t="s">
        <v>123</v>
      </c>
      <c r="F33" s="11" t="s">
        <v>59</v>
      </c>
    </row>
    <row r="34">
      <c r="A34" s="10"/>
      <c r="B34" s="6" t="s">
        <v>124</v>
      </c>
      <c r="C34" s="6" t="s">
        <v>125</v>
      </c>
      <c r="D34" s="14">
        <v>40.0</v>
      </c>
      <c r="E34" s="4" t="s">
        <v>126</v>
      </c>
      <c r="F34" s="11" t="s">
        <v>59</v>
      </c>
    </row>
    <row r="35">
      <c r="A35" s="10"/>
      <c r="B35" s="6" t="s">
        <v>127</v>
      </c>
      <c r="C35" s="6" t="s">
        <v>128</v>
      </c>
      <c r="D35" s="14">
        <v>40.0</v>
      </c>
      <c r="E35" s="4" t="s">
        <v>129</v>
      </c>
      <c r="F35" s="11" t="s">
        <v>59</v>
      </c>
    </row>
    <row r="36">
      <c r="A36" s="6" t="s">
        <v>130</v>
      </c>
      <c r="B36" s="6" t="s">
        <v>131</v>
      </c>
      <c r="C36" s="13"/>
      <c r="D36" s="14">
        <v>30.0</v>
      </c>
      <c r="E36" s="6" t="s">
        <v>120</v>
      </c>
      <c r="F36" s="11" t="s">
        <v>59</v>
      </c>
    </row>
    <row r="37">
      <c r="A37" s="13"/>
      <c r="B37" s="6" t="s">
        <v>132</v>
      </c>
      <c r="C37" s="13"/>
      <c r="D37" s="14">
        <v>8.0</v>
      </c>
      <c r="E37" s="4" t="s">
        <v>133</v>
      </c>
      <c r="F37" s="11" t="s">
        <v>59</v>
      </c>
    </row>
    <row r="38">
      <c r="A38" s="6" t="s">
        <v>134</v>
      </c>
      <c r="B38" s="10"/>
      <c r="C38" s="10"/>
      <c r="D38" s="14">
        <v>0.0</v>
      </c>
      <c r="E38" s="10"/>
      <c r="F38" s="11" t="s">
        <v>59</v>
      </c>
    </row>
    <row r="39">
      <c r="A39" s="10"/>
      <c r="B39" s="10"/>
      <c r="C39" s="15" t="s">
        <v>42</v>
      </c>
      <c r="D39" s="15">
        <f>SUM(D2:D38)</f>
        <v>1241</v>
      </c>
      <c r="E39" s="10"/>
      <c r="F39" s="10"/>
    </row>
    <row r="40">
      <c r="A40" s="6" t="s">
        <v>43</v>
      </c>
      <c r="B40" s="4" t="s">
        <v>44</v>
      </c>
      <c r="C40" s="14">
        <f>SUMPRODUCT(
(ISNUMBER(SEARCH("B1",$E$2:$E$37)))*
($D$2:$D$37/(LEN($E$2:$E$37)-LEN(SUBSTITUTE($E$2:$E$37,",",""))+1)))
</f>
        <v>118.1</v>
      </c>
      <c r="D40" s="10"/>
      <c r="E40" s="10"/>
      <c r="F40" s="10"/>
    </row>
    <row r="41">
      <c r="A41" s="6" t="s">
        <v>45</v>
      </c>
      <c r="B41" s="4" t="s">
        <v>46</v>
      </c>
      <c r="C41" s="14">
        <f>SUMPRODUCT(
(ISNUMBER(SEARCH("B2",$E$2:$E$37)))*
($D$2:$D$37/(LEN($E$2:$E$37)-LEN(SUBSTITUTE($E$2:$E$37,",",""))+1)))
</f>
        <v>83.1</v>
      </c>
      <c r="D41" s="10"/>
      <c r="E41" s="10"/>
      <c r="F41" s="10"/>
    </row>
    <row r="42">
      <c r="A42" s="6" t="s">
        <v>47</v>
      </c>
      <c r="B42" s="6" t="s">
        <v>48</v>
      </c>
      <c r="C42" s="14">
        <f>SUMPRODUCT(
(ISNUMBER(SEARCH("H",$E$2:$E$37)))*
($D$2:$D$37/(LEN($E$2:$E$37)-LEN(SUBSTITUTE($E$2:$E$37,",",""))+1)))
</f>
        <v>338.1</v>
      </c>
      <c r="D42" s="10"/>
      <c r="E42" s="10"/>
      <c r="F42" s="10"/>
    </row>
    <row r="43">
      <c r="A43" s="6" t="s">
        <v>49</v>
      </c>
      <c r="B43" s="6" t="s">
        <v>50</v>
      </c>
      <c r="C43" s="14">
        <f>SUMPRODUCT(
(ISNUMBER(SEARCH("T1",$E$2:$E$37)))*
($D$2:$D$37/(LEN($E$2:$E$37)-LEN(SUBSTITUTE($E$2:$E$37,",",""))+1)))
</f>
        <v>347.1</v>
      </c>
      <c r="D43" s="10"/>
      <c r="E43" s="10"/>
      <c r="F43" s="10"/>
    </row>
    <row r="44">
      <c r="A44" s="6" t="s">
        <v>51</v>
      </c>
      <c r="B44" s="6" t="s">
        <v>52</v>
      </c>
      <c r="C44" s="14">
        <f>SUMPRODUCT(
(ISNUMBER(SEARCH("T2",$E$2:$E$37)))*
($D$2:$D$37/(LEN($E$2:$E$37)-LEN(SUBSTITUTE($E$2:$E$37,",",""))+1)))
</f>
        <v>384.6</v>
      </c>
      <c r="D44" s="10"/>
      <c r="E44" s="10"/>
      <c r="F44" s="10"/>
    </row>
  </sheetData>
  <mergeCells count="1">
    <mergeCell ref="B26:C26"/>
  </mergeCells>
  <conditionalFormatting sqref="F1:F1000">
    <cfRule type="containsText" dxfId="0" priority="1" operator="containsText" text="To be started">
      <formula>NOT(ISERROR(SEARCH(("To be started"),(F1))))</formula>
    </cfRule>
  </conditionalFormatting>
  <conditionalFormatting sqref="F1:F1000">
    <cfRule type="containsText" dxfId="1" priority="2" operator="containsText" text="In Progress">
      <formula>NOT(ISERROR(SEARCH(("In Progress"),(F1))))</formula>
    </cfRule>
  </conditionalFormatting>
  <conditionalFormatting sqref="F1:F1000">
    <cfRule type="containsText" dxfId="2" priority="3" operator="containsText" text="Completed">
      <formula>NOT(ISERROR(SEARCH(("Completed"),(F1))))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40.63"/>
    <col customWidth="1" min="3" max="3" width="15.0"/>
    <col customWidth="1" min="4" max="4" width="15.13"/>
  </cols>
  <sheetData>
    <row r="1">
      <c r="A1" s="7" t="s">
        <v>135</v>
      </c>
      <c r="B1" s="7" t="s">
        <v>136</v>
      </c>
      <c r="C1" s="7" t="s">
        <v>137</v>
      </c>
      <c r="D1" s="7" t="s">
        <v>138</v>
      </c>
      <c r="E1" s="7" t="s">
        <v>42</v>
      </c>
    </row>
    <row r="2">
      <c r="A2" s="6" t="s">
        <v>43</v>
      </c>
      <c r="B2" s="4" t="s">
        <v>44</v>
      </c>
      <c r="C2" s="16">
        <f>Business!C20</f>
        <v>315.6666667</v>
      </c>
      <c r="D2" s="16">
        <f>Technical!C40</f>
        <v>118.1</v>
      </c>
      <c r="E2" s="16">
        <f t="shared" ref="E2:E6" si="1">SUM(C2:D2)</f>
        <v>433.7666667</v>
      </c>
    </row>
    <row r="3">
      <c r="A3" s="6" t="s">
        <v>45</v>
      </c>
      <c r="B3" s="4" t="s">
        <v>46</v>
      </c>
      <c r="C3" s="16">
        <f>Business!C21</f>
        <v>335.6666667</v>
      </c>
      <c r="D3" s="16">
        <f>Technical!C41</f>
        <v>83.1</v>
      </c>
      <c r="E3" s="16">
        <f t="shared" si="1"/>
        <v>418.7666667</v>
      </c>
    </row>
    <row r="4">
      <c r="A4" s="6" t="s">
        <v>47</v>
      </c>
      <c r="B4" s="6" t="s">
        <v>48</v>
      </c>
      <c r="C4" s="16">
        <f>Business!C22</f>
        <v>84</v>
      </c>
      <c r="D4" s="16">
        <f>Technical!C42</f>
        <v>338.1</v>
      </c>
      <c r="E4" s="16">
        <f t="shared" si="1"/>
        <v>422.1</v>
      </c>
    </row>
    <row r="5">
      <c r="A5" s="6" t="s">
        <v>49</v>
      </c>
      <c r="B5" s="6" t="s">
        <v>50</v>
      </c>
      <c r="C5" s="16">
        <f>Business!C23</f>
        <v>100.6666667</v>
      </c>
      <c r="D5" s="16">
        <f>Technical!C43</f>
        <v>347.1</v>
      </c>
      <c r="E5" s="16">
        <f t="shared" si="1"/>
        <v>447.7666667</v>
      </c>
    </row>
    <row r="6">
      <c r="A6" s="6" t="s">
        <v>51</v>
      </c>
      <c r="B6" s="6" t="s">
        <v>52</v>
      </c>
      <c r="C6" s="16">
        <f>Business!C24</f>
        <v>64</v>
      </c>
      <c r="D6" s="16">
        <f>Technical!C44</f>
        <v>384.6</v>
      </c>
      <c r="E6" s="16">
        <f t="shared" si="1"/>
        <v>448.6</v>
      </c>
    </row>
  </sheetData>
  <drawing r:id="rId1"/>
</worksheet>
</file>